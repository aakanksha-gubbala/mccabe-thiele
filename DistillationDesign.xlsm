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bmur.DESKTOP-TGF9L9H\Desktop\"/>
    </mc:Choice>
  </mc:AlternateContent>
  <xr:revisionPtr revIDLastSave="0" documentId="13_ncr:1_{45D57CF1-B15F-4F59-AEBD-BE70D8ED2F0A}" xr6:coauthVersionLast="45" xr6:coauthVersionMax="45" xr10:uidLastSave="{00000000-0000-0000-0000-000000000000}"/>
  <bookViews>
    <workbookView xWindow="-120" yWindow="-120" windowWidth="29040" windowHeight="15990" xr2:uid="{00415C42-7460-4991-9226-D83A96EA95E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L3" i="1"/>
  <c r="J4" i="1"/>
  <c r="J5" i="1"/>
  <c r="J6" i="1"/>
  <c r="J7" i="1"/>
  <c r="J8" i="1"/>
  <c r="J9" i="1"/>
  <c r="J10" i="1"/>
  <c r="J11" i="1"/>
  <c r="J12" i="1"/>
  <c r="J13" i="1"/>
  <c r="J3" i="1"/>
  <c r="B13" i="1"/>
  <c r="B14" i="1" s="1"/>
  <c r="B8" i="1" s="1"/>
  <c r="B9" i="1" s="1"/>
  <c r="E3" i="1" s="1"/>
  <c r="C12" i="1"/>
  <c r="B5" i="1"/>
  <c r="B6" i="1" s="1"/>
  <c r="M3" i="1" l="1"/>
  <c r="E4" i="1"/>
  <c r="E1" i="1"/>
  <c r="E2" i="1" s="1"/>
  <c r="G4" i="1" l="1"/>
  <c r="L4" i="1"/>
  <c r="G3" i="1"/>
  <c r="R3" i="1" l="1"/>
  <c r="S3" i="1" s="1"/>
  <c r="M4" i="1"/>
  <c r="S4" i="1" s="1"/>
  <c r="O3" i="1"/>
  <c r="P3" i="1" s="1"/>
  <c r="P4" i="1"/>
</calcChain>
</file>

<file path=xl/sharedStrings.xml><?xml version="1.0" encoding="utf-8"?>
<sst xmlns="http://schemas.openxmlformats.org/spreadsheetml/2006/main" count="36" uniqueCount="30">
  <si>
    <t>F</t>
  </si>
  <si>
    <t>D</t>
  </si>
  <si>
    <t>B</t>
  </si>
  <si>
    <t xml:space="preserve">R </t>
  </si>
  <si>
    <t>x*</t>
  </si>
  <si>
    <t>y*</t>
  </si>
  <si>
    <t>q</t>
  </si>
  <si>
    <t>Slope</t>
  </si>
  <si>
    <t>Intercept</t>
  </si>
  <si>
    <t>N</t>
  </si>
  <si>
    <t>Stripping Section</t>
  </si>
  <si>
    <t>α</t>
  </si>
  <si>
    <t>Change q value</t>
  </si>
  <si>
    <r>
      <t>z</t>
    </r>
    <r>
      <rPr>
        <b/>
        <vertAlign val="subscript"/>
        <sz val="12"/>
        <color theme="1"/>
        <rFont val="Helvetica"/>
      </rPr>
      <t>f</t>
    </r>
  </si>
  <si>
    <r>
      <t>x</t>
    </r>
    <r>
      <rPr>
        <b/>
        <vertAlign val="subscript"/>
        <sz val="12"/>
        <color theme="1"/>
        <rFont val="Helvetica"/>
      </rPr>
      <t>D</t>
    </r>
  </si>
  <si>
    <r>
      <t>x</t>
    </r>
    <r>
      <rPr>
        <b/>
        <vertAlign val="subscript"/>
        <sz val="12"/>
        <color theme="1"/>
        <rFont val="Helvetica"/>
      </rPr>
      <t>B</t>
    </r>
  </si>
  <si>
    <r>
      <t>R</t>
    </r>
    <r>
      <rPr>
        <b/>
        <vertAlign val="subscript"/>
        <sz val="12"/>
        <color theme="1"/>
        <rFont val="Helvetica"/>
      </rPr>
      <t>min</t>
    </r>
  </si>
  <si>
    <r>
      <t>R</t>
    </r>
    <r>
      <rPr>
        <b/>
        <vertAlign val="subscript"/>
        <sz val="12"/>
        <color theme="1"/>
        <rFont val="Helvetica"/>
      </rPr>
      <t>min</t>
    </r>
    <r>
      <rPr>
        <b/>
        <sz val="12"/>
        <color theme="1"/>
        <rFont val="Helvetica"/>
      </rPr>
      <t>/(R</t>
    </r>
    <r>
      <rPr>
        <b/>
        <vertAlign val="subscript"/>
        <sz val="12"/>
        <color theme="1"/>
        <rFont val="Helvetica"/>
      </rPr>
      <t>min</t>
    </r>
    <r>
      <rPr>
        <b/>
        <sz val="12"/>
        <color theme="1"/>
        <rFont val="Helvetica"/>
      </rPr>
      <t>+1)</t>
    </r>
  </si>
  <si>
    <r>
      <t>N</t>
    </r>
    <r>
      <rPr>
        <b/>
        <vertAlign val="subscript"/>
        <sz val="12"/>
        <color theme="1"/>
        <rFont val="Helvetica"/>
      </rPr>
      <t>rectifying</t>
    </r>
  </si>
  <si>
    <r>
      <t>N</t>
    </r>
    <r>
      <rPr>
        <b/>
        <vertAlign val="subscript"/>
        <sz val="12"/>
        <color theme="1"/>
        <rFont val="Helvetica"/>
      </rPr>
      <t>stripping</t>
    </r>
  </si>
  <si>
    <r>
      <t>V</t>
    </r>
    <r>
      <rPr>
        <b/>
        <vertAlign val="subscript"/>
        <sz val="12"/>
        <color theme="1"/>
        <rFont val="Helvetica"/>
      </rPr>
      <t>R</t>
    </r>
  </si>
  <si>
    <r>
      <t>V</t>
    </r>
    <r>
      <rPr>
        <b/>
        <vertAlign val="subscript"/>
        <sz val="12"/>
        <color theme="1"/>
        <rFont val="Helvetica"/>
      </rPr>
      <t>S</t>
    </r>
  </si>
  <si>
    <r>
      <t>L</t>
    </r>
    <r>
      <rPr>
        <b/>
        <vertAlign val="subscript"/>
        <sz val="12"/>
        <color theme="1"/>
        <rFont val="Helvetica"/>
      </rPr>
      <t>R</t>
    </r>
  </si>
  <si>
    <r>
      <t>L</t>
    </r>
    <r>
      <rPr>
        <b/>
        <vertAlign val="subscript"/>
        <sz val="12"/>
        <color theme="1"/>
        <rFont val="Helvetica"/>
      </rPr>
      <t>S</t>
    </r>
  </si>
  <si>
    <t>x</t>
  </si>
  <si>
    <t>y</t>
  </si>
  <si>
    <t>Equilibrium Line</t>
  </si>
  <si>
    <t>Rectifying Line</t>
  </si>
  <si>
    <t>Stripping Line</t>
  </si>
  <si>
    <t>q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</si>
</sst>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8" formatCode="0.000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Helvetica"/>
    </font>
    <font>
      <sz val="12"/>
      <color theme="1"/>
      <name val="Helvetica"/>
    </font>
    <font>
      <b/>
      <vertAlign val="subscript"/>
      <sz val="12"/>
      <color theme="1"/>
      <name val="Helvetica"/>
    </font>
    <font>
      <b/>
      <sz val="12"/>
      <color theme="1"/>
      <name val="Calibri"/>
      <family val="2"/>
    </font>
    <font>
      <i/>
      <sz val="12"/>
      <color theme="1"/>
      <name val="Helvetica"/>
    </font>
    <font>
      <sz val="12"/>
      <color theme="0"/>
      <name val="Helvetica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8" fontId="2" fillId="2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88133126-E1B3-4C2E-B82A-21E7327FFB9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45 degree line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Sheet1!$I$3:$I$13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Sheet1!$I$3:$I$13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4-4DAE-9024-9E4ADD841C92}"/>
            </c:ext>
          </c:extLst>
        </c:ser>
        <c:ser>
          <c:idx val="1"/>
          <c:order val="1"/>
          <c:tx>
            <c:v>Equilibrium line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Sheet1!$I$3:$I$13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Sheet1!$J$3:$J$13</c:f>
              <c:numCache>
                <c:formatCode>0.000</c:formatCode>
                <c:ptCount val="11"/>
                <c:pt idx="0">
                  <c:v>0</c:v>
                </c:pt>
                <c:pt idx="1">
                  <c:v>0.18181818181818182</c:v>
                </c:pt>
                <c:pt idx="2">
                  <c:v>0.33333333333333337</c:v>
                </c:pt>
                <c:pt idx="3">
                  <c:v>0.46153846153846151</c:v>
                </c:pt>
                <c:pt idx="4">
                  <c:v>0.57142857142857151</c:v>
                </c:pt>
                <c:pt idx="5">
                  <c:v>0.66666666666666663</c:v>
                </c:pt>
                <c:pt idx="6">
                  <c:v>0.74999999999999989</c:v>
                </c:pt>
                <c:pt idx="7">
                  <c:v>0.82352941176470584</c:v>
                </c:pt>
                <c:pt idx="8">
                  <c:v>0.88888888888888895</c:v>
                </c:pt>
                <c:pt idx="9">
                  <c:v>0.94736842105263164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D4-4DAE-9024-9E4ADD841C92}"/>
            </c:ext>
          </c:extLst>
        </c:ser>
        <c:ser>
          <c:idx val="2"/>
          <c:order val="2"/>
          <c:tx>
            <c:v>Rectifying 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Sheet1!$L$3:$L$4</c:f>
              <c:numCache>
                <c:formatCode>0.000</c:formatCode>
                <c:ptCount val="2"/>
                <c:pt idx="0">
                  <c:v>0.95</c:v>
                </c:pt>
                <c:pt idx="1">
                  <c:v>0.51030844752068505</c:v>
                </c:pt>
              </c:numCache>
            </c:numRef>
          </c:xVal>
          <c:yVal>
            <c:numRef>
              <c:f>Sheet1!$M$3:$M$4</c:f>
              <c:numCache>
                <c:formatCode>0.000</c:formatCode>
                <c:ptCount val="2"/>
                <c:pt idx="0">
                  <c:v>0.94999999999999984</c:v>
                </c:pt>
                <c:pt idx="1">
                  <c:v>0.61339292272753509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D4-4DAE-9024-9E4ADD841C92}"/>
            </c:ext>
          </c:extLst>
        </c:ser>
        <c:ser>
          <c:idx val="3"/>
          <c:order val="3"/>
          <c:tx>
            <c:v>Stripping line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Sheet1!$O$3:$O$4</c:f>
              <c:numCache>
                <c:formatCode>0.000</c:formatCode>
                <c:ptCount val="2"/>
                <c:pt idx="0">
                  <c:v>0.51030844752068505</c:v>
                </c:pt>
                <c:pt idx="1">
                  <c:v>0.13181818181818181</c:v>
                </c:pt>
              </c:numCache>
            </c:numRef>
          </c:xVal>
          <c:yVal>
            <c:numRef>
              <c:f>Sheet1!$P$3:$P$4</c:f>
              <c:numCache>
                <c:formatCode>0.000</c:formatCode>
                <c:ptCount val="2"/>
                <c:pt idx="0">
                  <c:v>0.61339292272753532</c:v>
                </c:pt>
                <c:pt idx="1">
                  <c:v>0.13181818181818181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D4-4DAE-9024-9E4ADD841C92}"/>
            </c:ext>
          </c:extLst>
        </c:ser>
        <c:ser>
          <c:idx val="4"/>
          <c:order val="4"/>
          <c:tx>
            <c:v>q line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Sheet1!$R$3:$R$4</c:f>
              <c:numCache>
                <c:formatCode>0.000</c:formatCode>
                <c:ptCount val="2"/>
                <c:pt idx="0">
                  <c:v>0.51030844752068505</c:v>
                </c:pt>
                <c:pt idx="1">
                  <c:v>0.5</c:v>
                </c:pt>
              </c:numCache>
            </c:numRef>
          </c:xVal>
          <c:yVal>
            <c:numRef>
              <c:f>Sheet1!$S$3:$S$4</c:f>
              <c:numCache>
                <c:formatCode>0.000</c:formatCode>
                <c:ptCount val="2"/>
                <c:pt idx="0">
                  <c:v>0.61339292272753532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4D4-4DAE-9024-9E4ADD84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706463"/>
        <c:axId val="1821448015"/>
      </c:scatterChart>
      <c:valAx>
        <c:axId val="1844706463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448015"/>
        <c:crosses val="autoZero"/>
        <c:crossBetween val="midCat"/>
      </c:valAx>
      <c:valAx>
        <c:axId val="1821448015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</a:t>
                </a:r>
              </a:p>
            </c:rich>
          </c:tx>
          <c:layout>
            <c:manualLayout>
              <c:xMode val="edge"/>
              <c:yMode val="edge"/>
              <c:x val="2.1276591784108304E-2"/>
              <c:y val="0.437155441406734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706463"/>
        <c:crosses val="autoZero"/>
        <c:crossBetween val="midCat"/>
      </c:valAx>
      <c:spPr>
        <a:noFill/>
        <a:ln w="3175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18</xdr:row>
      <xdr:rowOff>200025</xdr:rowOff>
    </xdr:from>
    <xdr:to>
      <xdr:col>1</xdr:col>
      <xdr:colOff>342900</xdr:colOff>
      <xdr:row>20</xdr:row>
      <xdr:rowOff>190500</xdr:rowOff>
    </xdr:to>
    <xdr:sp macro="[0]!Distill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9251C5-13C0-4DD7-954A-6F58DFA3B36A}"/>
            </a:ext>
          </a:extLst>
        </xdr:cNvPr>
        <xdr:cNvSpPr/>
      </xdr:nvSpPr>
      <xdr:spPr>
        <a:xfrm>
          <a:off x="276225" y="4905375"/>
          <a:ext cx="1571625" cy="4476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Calculate</a:t>
          </a:r>
        </a:p>
      </xdr:txBody>
    </xdr:sp>
    <xdr:clientData/>
  </xdr:twoCellAnchor>
  <xdr:twoCellAnchor>
    <xdr:from>
      <xdr:col>10</xdr:col>
      <xdr:colOff>504823</xdr:colOff>
      <xdr:row>5</xdr:row>
      <xdr:rowOff>171450</xdr:rowOff>
    </xdr:from>
    <xdr:to>
      <xdr:col>19</xdr:col>
      <xdr:colOff>390524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8C49E7-20A7-4B72-9AFE-DC28752C88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F5936-F7E8-493E-9067-11629E19AC8A}">
  <sheetPr codeName="Sheet1"/>
  <dimension ref="A1:S21"/>
  <sheetViews>
    <sheetView showGridLines="0" tabSelected="1" workbookViewId="0">
      <selection activeCell="E21" sqref="E21"/>
    </sheetView>
  </sheetViews>
  <sheetFormatPr defaultRowHeight="15" x14ac:dyDescent="0.25"/>
  <cols>
    <col min="1" max="1" width="19.140625" style="1" customWidth="1"/>
    <col min="2" max="2" width="9.42578125" style="1" bestFit="1" customWidth="1"/>
    <col min="3" max="3" width="11.28515625" style="1" customWidth="1"/>
    <col min="4" max="4" width="9.140625" style="1"/>
    <col min="5" max="5" width="9.42578125" style="1" bestFit="1" customWidth="1"/>
    <col min="6" max="6" width="12" style="1" bestFit="1" customWidth="1"/>
    <col min="7" max="7" width="9.42578125" style="1" bestFit="1" customWidth="1"/>
    <col min="8" max="9" width="9.140625" style="1"/>
    <col min="10" max="10" width="9.85546875" style="1" customWidth="1"/>
    <col min="11" max="16384" width="9.140625" style="1"/>
  </cols>
  <sheetData>
    <row r="1" spans="1:19" ht="18.75" x14ac:dyDescent="0.25">
      <c r="A1" s="10" t="s">
        <v>0</v>
      </c>
      <c r="B1" s="5">
        <v>100</v>
      </c>
      <c r="D1" s="10" t="s">
        <v>20</v>
      </c>
      <c r="E1" s="7">
        <f>E3+B3</f>
        <v>191.94083126354553</v>
      </c>
      <c r="I1" s="9" t="s">
        <v>26</v>
      </c>
      <c r="J1" s="9"/>
      <c r="L1" s="9" t="s">
        <v>27</v>
      </c>
      <c r="M1" s="9"/>
      <c r="O1" s="9" t="s">
        <v>28</v>
      </c>
      <c r="P1" s="9"/>
      <c r="R1" s="9" t="s">
        <v>29</v>
      </c>
      <c r="S1" s="9"/>
    </row>
    <row r="2" spans="1:19" ht="18.75" x14ac:dyDescent="0.25">
      <c r="A2" s="10" t="s">
        <v>13</v>
      </c>
      <c r="B2" s="5">
        <v>0.5</v>
      </c>
      <c r="D2" s="10" t="s">
        <v>21</v>
      </c>
      <c r="E2" s="7">
        <f>E1+(B10-1)*B1</f>
        <v>201.94083126354553</v>
      </c>
      <c r="F2" s="11" t="s">
        <v>10</v>
      </c>
      <c r="G2" s="4"/>
      <c r="I2" s="10" t="s">
        <v>24</v>
      </c>
      <c r="J2" s="10" t="s">
        <v>25</v>
      </c>
      <c r="L2" s="10" t="s">
        <v>24</v>
      </c>
      <c r="M2" s="10" t="s">
        <v>25</v>
      </c>
      <c r="O2" s="10" t="s">
        <v>24</v>
      </c>
      <c r="P2" s="10" t="s">
        <v>25</v>
      </c>
      <c r="R2" s="10" t="s">
        <v>24</v>
      </c>
      <c r="S2" s="10" t="s">
        <v>25</v>
      </c>
    </row>
    <row r="3" spans="1:19" ht="18.75" x14ac:dyDescent="0.25">
      <c r="A3" s="10" t="s">
        <v>1</v>
      </c>
      <c r="B3" s="5">
        <v>45</v>
      </c>
      <c r="D3" s="10" t="s">
        <v>22</v>
      </c>
      <c r="E3" s="7">
        <f>B9*B3</f>
        <v>146.94083126354553</v>
      </c>
      <c r="F3" s="12" t="s">
        <v>7</v>
      </c>
      <c r="G3" s="13">
        <f>E4/E2</f>
        <v>1.2723570050487785</v>
      </c>
      <c r="I3" s="5">
        <v>0</v>
      </c>
      <c r="J3" s="8">
        <f>I3*$B$7/(1 + ($B$7-1)*I3)</f>
        <v>0</v>
      </c>
      <c r="L3" s="8">
        <f>B4</f>
        <v>0.95</v>
      </c>
      <c r="M3" s="8">
        <f>(($B$9*L3 +$B$4)/($B$9+1))</f>
        <v>0.94999999999999984</v>
      </c>
      <c r="O3" s="8">
        <f>L4</f>
        <v>0.51030844752068505</v>
      </c>
      <c r="P3" s="8">
        <f>$G$3*O3+$G$4</f>
        <v>0.61339292272753532</v>
      </c>
      <c r="R3" s="8">
        <f>IF(B10=1,0.5,L4)</f>
        <v>0.51030844752068505</v>
      </c>
      <c r="S3" s="8">
        <f>IF(B10 = 1,0.5,(R3*$B$10-$B$2)/($B$10-1))</f>
        <v>0.61339292272753532</v>
      </c>
    </row>
    <row r="4" spans="1:19" ht="18.75" x14ac:dyDescent="0.25">
      <c r="A4" s="10" t="s">
        <v>14</v>
      </c>
      <c r="B4" s="5">
        <v>0.95</v>
      </c>
      <c r="D4" s="10" t="s">
        <v>23</v>
      </c>
      <c r="E4" s="7">
        <f>E3+B10*B1</f>
        <v>256.94083126354553</v>
      </c>
      <c r="F4" s="12" t="s">
        <v>8</v>
      </c>
      <c r="G4" s="13">
        <f>-B5*B6/E2</f>
        <v>-3.5901605210975344E-2</v>
      </c>
      <c r="I4" s="5">
        <v>0.1</v>
      </c>
      <c r="J4" s="8">
        <f t="shared" ref="J4:J13" si="0">I4*$B$7/(1 + ($B$7-1)*I4)</f>
        <v>0.18181818181818182</v>
      </c>
      <c r="L4" s="8">
        <f>(B3*B4/E1 + B5*B6/E2)/(E4/E2 - E3/E1)</f>
        <v>0.51030844752068505</v>
      </c>
      <c r="M4" s="8">
        <f>(($B$9*L4 +$B$4)/($B$9+1))</f>
        <v>0.61339292272753509</v>
      </c>
      <c r="O4" s="8">
        <f>B6</f>
        <v>0.13181818181818181</v>
      </c>
      <c r="P4" s="8">
        <f>$G$3*O4+$G$4</f>
        <v>0.13181818181818181</v>
      </c>
      <c r="R4" s="8">
        <v>0.5</v>
      </c>
      <c r="S4" s="8">
        <f>IF(B10 = 1,M4,(R4*$B$10-$B$2)/($B$10-1))</f>
        <v>0.5</v>
      </c>
    </row>
    <row r="5" spans="1:19" ht="15.75" x14ac:dyDescent="0.25">
      <c r="A5" s="10" t="s">
        <v>2</v>
      </c>
      <c r="B5" s="5">
        <f>B1-B3</f>
        <v>55</v>
      </c>
      <c r="I5" s="5">
        <v>0.2</v>
      </c>
      <c r="J5" s="8">
        <f t="shared" si="0"/>
        <v>0.33333333333333337</v>
      </c>
    </row>
    <row r="6" spans="1:19" ht="18.75" x14ac:dyDescent="0.25">
      <c r="A6" s="10" t="s">
        <v>15</v>
      </c>
      <c r="B6" s="8">
        <f>(B1*B2-B3*B4)/B5</f>
        <v>0.13181818181818181</v>
      </c>
      <c r="I6" s="5">
        <v>0.3</v>
      </c>
      <c r="J6" s="8">
        <f t="shared" si="0"/>
        <v>0.46153846153846151</v>
      </c>
    </row>
    <row r="7" spans="1:19" ht="15.75" x14ac:dyDescent="0.25">
      <c r="A7" s="14" t="s">
        <v>11</v>
      </c>
      <c r="B7" s="5">
        <v>2</v>
      </c>
      <c r="I7" s="5">
        <v>0.4</v>
      </c>
      <c r="J7" s="8">
        <f t="shared" si="0"/>
        <v>0.57142857142857151</v>
      </c>
    </row>
    <row r="8" spans="1:19" ht="18.75" x14ac:dyDescent="0.25">
      <c r="A8" s="10" t="s">
        <v>16</v>
      </c>
      <c r="B8" s="8">
        <f>B14/(1-B14)</f>
        <v>1.6326759029282838</v>
      </c>
      <c r="I8" s="5">
        <v>0.5</v>
      </c>
      <c r="J8" s="8">
        <f t="shared" si="0"/>
        <v>0.66666666666666663</v>
      </c>
    </row>
    <row r="9" spans="1:19" ht="15.75" x14ac:dyDescent="0.25">
      <c r="A9" s="10" t="s">
        <v>3</v>
      </c>
      <c r="B9" s="15">
        <f>2*B8</f>
        <v>3.2653518058565676</v>
      </c>
      <c r="I9" s="5">
        <v>0.6</v>
      </c>
      <c r="J9" s="8">
        <f t="shared" si="0"/>
        <v>0.74999999999999989</v>
      </c>
    </row>
    <row r="10" spans="1:19" ht="15.75" x14ac:dyDescent="0.25">
      <c r="A10" s="10" t="s">
        <v>6</v>
      </c>
      <c r="B10" s="16">
        <v>1.1000000000000001</v>
      </c>
      <c r="C10" s="18" t="s">
        <v>12</v>
      </c>
      <c r="D10" s="18"/>
      <c r="I10" s="5">
        <v>0.7</v>
      </c>
      <c r="J10" s="8">
        <f t="shared" si="0"/>
        <v>0.82352941176470584</v>
      </c>
    </row>
    <row r="11" spans="1:19" ht="15.75" x14ac:dyDescent="0.25">
      <c r="A11" s="2"/>
      <c r="I11" s="5">
        <v>0.8</v>
      </c>
      <c r="J11" s="8">
        <f t="shared" si="0"/>
        <v>0.88888888888888895</v>
      </c>
    </row>
    <row r="12" spans="1:19" ht="15.75" x14ac:dyDescent="0.25">
      <c r="A12" s="10" t="s">
        <v>4</v>
      </c>
      <c r="B12" s="8">
        <v>0.51645033168133914</v>
      </c>
      <c r="C12" s="3">
        <f>B2-B10*B12+B7*B12*(B10-1)/(1+(B7-1)*B12)</f>
        <v>1.7691132879305016E-5</v>
      </c>
      <c r="I12" s="5">
        <v>0.9</v>
      </c>
      <c r="J12" s="8">
        <f t="shared" si="0"/>
        <v>0.94736842105263164</v>
      </c>
    </row>
    <row r="13" spans="1:19" ht="15.75" x14ac:dyDescent="0.25">
      <c r="A13" s="10" t="s">
        <v>5</v>
      </c>
      <c r="B13" s="8">
        <f>B7*B12/(1+(B7-1)*B12)</f>
        <v>0.68113055982352344</v>
      </c>
      <c r="I13" s="5">
        <v>1</v>
      </c>
      <c r="J13" s="8">
        <f t="shared" si="0"/>
        <v>1</v>
      </c>
    </row>
    <row r="14" spans="1:19" ht="18.75" x14ac:dyDescent="0.25">
      <c r="A14" s="17" t="s">
        <v>17</v>
      </c>
      <c r="B14" s="8">
        <f>(B4-B13)/(B4-B12)</f>
        <v>0.62015833438224743</v>
      </c>
    </row>
    <row r="15" spans="1:19" ht="15.75" x14ac:dyDescent="0.25">
      <c r="A15" s="2"/>
    </row>
    <row r="16" spans="1:19" ht="27.75" customHeight="1" x14ac:dyDescent="0.25">
      <c r="A16" s="10" t="s">
        <v>18</v>
      </c>
      <c r="B16" s="19">
        <v>7</v>
      </c>
    </row>
    <row r="17" spans="1:6" ht="24.75" customHeight="1" x14ac:dyDescent="0.25">
      <c r="A17" s="10" t="s">
        <v>19</v>
      </c>
      <c r="B17" s="19">
        <v>4</v>
      </c>
    </row>
    <row r="18" spans="1:6" ht="31.5" customHeight="1" x14ac:dyDescent="0.25">
      <c r="A18" s="10" t="s">
        <v>9</v>
      </c>
      <c r="B18" s="19">
        <v>11</v>
      </c>
    </row>
    <row r="21" spans="1:6" x14ac:dyDescent="0.25">
      <c r="F21" s="6"/>
    </row>
  </sheetData>
  <mergeCells count="6">
    <mergeCell ref="F2:G2"/>
    <mergeCell ref="C10:D10"/>
    <mergeCell ref="I1:J1"/>
    <mergeCell ref="L1:M1"/>
    <mergeCell ref="O1:P1"/>
    <mergeCell ref="R1:S1"/>
  </mergeCell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Murali Krishna</dc:creator>
  <cp:lastModifiedBy>Murali Krishna</cp:lastModifiedBy>
  <dcterms:created xsi:type="dcterms:W3CDTF">2020-08-13T17:12:24Z</dcterms:created>
  <dcterms:modified xsi:type="dcterms:W3CDTF">2020-08-13T18:20:33Z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772cf92e-3b04-477e-a682-99ab7ad5adf4</vt:lpwstr>
  </property>
</Properties>
</file>